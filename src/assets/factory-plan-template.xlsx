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Laptop Solutions\Downloads\"/>
    </mc:Choice>
  </mc:AlternateContent>
  <xr:revisionPtr revIDLastSave="0" documentId="13_ncr:1_{5E0844D7-26F9-4DE6-9FEF-15C4DA033A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PAK SS01-AB" sheetId="6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31" i="6" l="1"/>
  <c r="O31" i="6"/>
  <c r="N31" i="6"/>
  <c r="M31" i="6"/>
  <c r="L31" i="6"/>
  <c r="O1" i="6" s="1"/>
  <c r="K31" i="6"/>
  <c r="I31" i="6"/>
  <c r="H31" i="6"/>
  <c r="R5" i="6"/>
  <c r="O5" i="6"/>
  <c r="K5" i="6"/>
  <c r="O4" i="6"/>
  <c r="K3" i="6"/>
  <c r="O2" i="6"/>
  <c r="O3" i="6" s="1"/>
  <c r="K2" i="6"/>
</calcChain>
</file>

<file path=xl/sharedStrings.xml><?xml version="1.0" encoding="utf-8"?>
<sst xmlns="http://schemas.openxmlformats.org/spreadsheetml/2006/main" count="63" uniqueCount="58">
  <si>
    <t>UPS</t>
  </si>
  <si>
    <t>10008915</t>
  </si>
  <si>
    <t>City Paper Mart</t>
  </si>
  <si>
    <t>10008929</t>
  </si>
  <si>
    <t>Hamza Trader</t>
  </si>
  <si>
    <t>10008892</t>
  </si>
  <si>
    <t>UNIQUE TRADERS</t>
  </si>
  <si>
    <t>290</t>
  </si>
  <si>
    <t>70</t>
  </si>
  <si>
    <t>40</t>
  </si>
  <si>
    <t>CUSTOMER</t>
  </si>
  <si>
    <t>SS</t>
  </si>
  <si>
    <t>SECONDARY SLITTER</t>
  </si>
  <si>
    <t>Trim(mm)</t>
  </si>
  <si>
    <t>Thickness</t>
  </si>
  <si>
    <t>TNBPL10</t>
  </si>
  <si>
    <t>Mill Rolls' Wt.(kgs)</t>
  </si>
  <si>
    <t>Trim Wt. (kgs)</t>
  </si>
  <si>
    <t>Density</t>
  </si>
  <si>
    <t>LENGTH</t>
  </si>
  <si>
    <t>Reel Diameter (mm)</t>
  </si>
  <si>
    <t>Waste (%)</t>
  </si>
  <si>
    <t>Allowed Trim</t>
  </si>
  <si>
    <t>TIME</t>
  </si>
  <si>
    <t>Time/Pack (min)</t>
  </si>
  <si>
    <t>Utilized Web</t>
  </si>
  <si>
    <t>Ups</t>
  </si>
  <si>
    <t>REPS.</t>
  </si>
  <si>
    <t>Planned MR Length</t>
  </si>
  <si>
    <t>Remaining Web</t>
  </si>
  <si>
    <t>Rej Material</t>
  </si>
  <si>
    <t>Mill Rolls Length</t>
  </si>
  <si>
    <t>Per Up</t>
  </si>
  <si>
    <t>Doc Ref: CPAK/QR/PL/01                   Rev No: 0                                            Issue Date: 01/03/2021</t>
  </si>
  <si>
    <t>USE CORE SIZE AND SLIT LENGTH AS MENTIONED BELOW WITH EACH WIDTH</t>
  </si>
  <si>
    <t xml:space="preserve">TOTAL </t>
  </si>
  <si>
    <t>WT/PACK</t>
  </si>
  <si>
    <t>TOT.WT.</t>
  </si>
  <si>
    <t>SO#</t>
  </si>
  <si>
    <t>Item#</t>
  </si>
  <si>
    <t>Length</t>
  </si>
  <si>
    <t>Core</t>
  </si>
  <si>
    <t>TS</t>
  </si>
  <si>
    <t>Width</t>
  </si>
  <si>
    <t>REELS</t>
  </si>
  <si>
    <t>WEIGHT</t>
  </si>
  <si>
    <t>SIZE (mm)</t>
  </si>
  <si>
    <t>DECKLE</t>
  </si>
  <si>
    <t>(KGS)</t>
  </si>
  <si>
    <t>Starting Time</t>
  </si>
  <si>
    <t>BS</t>
  </si>
  <si>
    <t>Completion Time</t>
  </si>
  <si>
    <t>Duration (hrs)</t>
  </si>
  <si>
    <t>Repitions Completed</t>
  </si>
  <si>
    <t>Rejection</t>
  </si>
  <si>
    <t>Consumed Length</t>
  </si>
  <si>
    <t>TOTAL</t>
  </si>
  <si>
    <t>IPAK SS01-100626-AB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</si>
</sst>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sz val="10"/>
      <name val="Times New Roman"/>
      <family val="1"/>
    </font>
    <font>
      <sz val="14"/>
      <name val="Times New Roman"/>
      <family val="1"/>
    </font>
    <font>
      <b/>
      <sz val="12"/>
      <name val="Times New Roman"/>
      <family val="1"/>
    </font>
    <font>
      <b/>
      <sz val="30"/>
      <name val="Times New Roman"/>
      <family val="1"/>
    </font>
    <font>
      <b/>
      <sz val="18"/>
      <name val="Times New Roman"/>
      <family val="1"/>
    </font>
    <font>
      <sz val="18"/>
      <name val="Times New Roman"/>
      <family val="1"/>
    </font>
    <font>
      <sz val="11"/>
      <color theme="1"/>
      <name val="Calibri"/>
      <family val="2"/>
      <scheme val="minor"/>
    </font>
    <font>
      <b/>
      <sz val="16"/>
      <name val="Times New Roman"/>
      <family val="1"/>
    </font>
    <font>
      <b/>
      <sz val="20"/>
      <name val="Times New Roman"/>
      <family val="1"/>
    </font>
    <font>
      <b/>
      <sz val="11"/>
      <color rgb="FF1B3A4B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7030A0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9" fillId="0" borderId="0"/>
  </cellStyleXfs>
  <cellXfs count="69">
    <xf numFmtId="0" fontId="0" fillId="0" borderId="0" xfId="0"/>
    <xf numFmtId="0" fontId="3" fillId="0" borderId="0" xfId="1" applyFont="1"/>
    <xf numFmtId="0" fontId="5" fillId="0" borderId="0" xfId="1" applyFont="1" applyAlignment="1">
      <alignment horizontal="center"/>
    </xf>
    <xf numFmtId="0" fontId="4" fillId="0" borderId="0" xfId="1" applyFont="1"/>
    <xf numFmtId="0" fontId="7" fillId="0" borderId="5" xfId="1" applyFont="1" applyBorder="1"/>
    <xf numFmtId="0" fontId="7" fillId="0" borderId="6" xfId="1" applyFont="1" applyBorder="1"/>
    <xf numFmtId="0" fontId="7" fillId="3" borderId="7" xfId="1" applyFont="1" applyFill="1" applyBorder="1"/>
    <xf numFmtId="0" fontId="7" fillId="0" borderId="9" xfId="1" applyFont="1" applyBorder="1"/>
    <xf numFmtId="0" fontId="7" fillId="0" borderId="10" xfId="1" applyFont="1" applyBorder="1"/>
    <xf numFmtId="10" fontId="7" fillId="0" borderId="9" xfId="1" applyNumberFormat="1" applyFont="1" applyBorder="1"/>
    <xf numFmtId="0" fontId="7" fillId="3" borderId="11" xfId="1" applyFont="1" applyFill="1" applyBorder="1"/>
    <xf numFmtId="0" fontId="8" fillId="0" borderId="19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2" fontId="8" fillId="0" borderId="20" xfId="1" applyNumberFormat="1" applyFont="1" applyBorder="1" applyAlignment="1">
      <alignment horizontal="center"/>
    </xf>
    <xf numFmtId="2" fontId="8" fillId="0" borderId="14" xfId="1" applyNumberFormat="1" applyFont="1" applyBorder="1" applyAlignment="1">
      <alignment horizontal="center"/>
    </xf>
    <xf numFmtId="2" fontId="8" fillId="0" borderId="19" xfId="1" applyNumberFormat="1" applyFont="1" applyBorder="1" applyAlignment="1">
      <alignment horizontal="center"/>
    </xf>
    <xf numFmtId="0" fontId="8" fillId="0" borderId="0" xfId="1" applyFont="1"/>
    <xf numFmtId="0" fontId="8" fillId="0" borderId="0" xfId="1" applyFont="1" applyAlignment="1">
      <alignment horizontal="center"/>
    </xf>
    <xf numFmtId="2" fontId="8" fillId="0" borderId="0" xfId="1" applyNumberFormat="1" applyFont="1" applyAlignment="1">
      <alignment horizontal="center"/>
    </xf>
    <xf numFmtId="0" fontId="8" fillId="0" borderId="0" xfId="1" applyFont="1" applyAlignment="1">
      <alignment horizontal="left"/>
    </xf>
    <xf numFmtId="2" fontId="7" fillId="0" borderId="9" xfId="1" applyNumberFormat="1" applyFont="1" applyBorder="1"/>
    <xf numFmtId="0" fontId="7" fillId="0" borderId="15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 applyAlignment="1">
      <alignment horizontal="center"/>
    </xf>
    <xf numFmtId="0" fontId="8" fillId="0" borderId="2" xfId="1" applyFont="1" applyBorder="1"/>
    <xf numFmtId="2" fontId="7" fillId="3" borderId="7" xfId="1" applyNumberFormat="1" applyFont="1" applyFill="1" applyBorder="1" applyAlignment="1">
      <alignment horizontal="center"/>
    </xf>
    <xf numFmtId="0" fontId="7" fillId="0" borderId="7" xfId="1" applyFont="1" applyBorder="1" applyAlignment="1">
      <alignment horizontal="right"/>
    </xf>
    <xf numFmtId="0" fontId="7" fillId="3" borderId="7" xfId="1" applyFont="1" applyFill="1" applyBorder="1" applyAlignment="1">
      <alignment horizontal="center"/>
    </xf>
    <xf numFmtId="2" fontId="7" fillId="3" borderId="1" xfId="1" applyNumberFormat="1" applyFont="1" applyFill="1" applyBorder="1" applyAlignment="1">
      <alignment horizontal="center"/>
    </xf>
    <xf numFmtId="0" fontId="7" fillId="0" borderId="17" xfId="1" applyFont="1" applyBorder="1" applyAlignment="1">
      <alignment horizontal="center"/>
    </xf>
    <xf numFmtId="0" fontId="7" fillId="0" borderId="18" xfId="1" applyFont="1" applyBorder="1" applyAlignment="1">
      <alignment horizontal="center"/>
    </xf>
    <xf numFmtId="0" fontId="7" fillId="0" borderId="14" xfId="1" applyFont="1" applyBorder="1" applyAlignment="1">
      <alignment horizontal="left" vertical="center"/>
    </xf>
    <xf numFmtId="0" fontId="7" fillId="5" borderId="1" xfId="1" applyFont="1" applyFill="1" applyBorder="1"/>
    <xf numFmtId="164" fontId="7" fillId="0" borderId="9" xfId="2" applyFont="1" applyBorder="1"/>
    <xf numFmtId="164" fontId="7" fillId="0" borderId="13" xfId="2" applyFont="1" applyBorder="1"/>
    <xf numFmtId="0" fontId="7" fillId="5" borderId="7" xfId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7" fillId="3" borderId="23" xfId="1" applyFont="1" applyFill="1" applyBorder="1" applyAlignment="1">
      <alignment horizontal="left"/>
    </xf>
    <xf numFmtId="0" fontId="0" fillId="0" borderId="12" xfId="0" applyBorder="1"/>
    <xf numFmtId="0" fontId="7" fillId="4" borderId="11" xfId="1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0" fillId="0" borderId="19" xfId="0" applyBorder="1"/>
    <xf numFmtId="0" fontId="4" fillId="0" borderId="0" xfId="1" applyFont="1"/>
    <xf numFmtId="0" fontId="0" fillId="0" borderId="20" xfId="0" applyBorder="1"/>
    <xf numFmtId="165" fontId="7" fillId="2" borderId="7" xfId="1" applyNumberFormat="1" applyFont="1" applyFill="1" applyBorder="1" applyAlignment="1">
      <alignment horizontal="center"/>
    </xf>
    <xf numFmtId="2" fontId="7" fillId="0" borderId="7" xfId="1" applyNumberFormat="1" applyFont="1" applyBorder="1" applyAlignment="1">
      <alignment horizontal="center"/>
    </xf>
    <xf numFmtId="0" fontId="7" fillId="3" borderId="7" xfId="1" applyFont="1" applyFill="1" applyBorder="1" applyAlignment="1">
      <alignment horizontal="left" vertical="center"/>
    </xf>
    <xf numFmtId="3" fontId="11" fillId="0" borderId="7" xfId="1" applyNumberFormat="1" applyFont="1" applyBorder="1" applyAlignment="1">
      <alignment horizontal="center"/>
    </xf>
    <xf numFmtId="0" fontId="7" fillId="3" borderId="24" xfId="1" applyFont="1" applyFill="1" applyBorder="1" applyAlignment="1">
      <alignment horizontal="left"/>
    </xf>
    <xf numFmtId="0" fontId="0" fillId="0" borderId="8" xfId="0" applyBorder="1"/>
    <xf numFmtId="0" fontId="7" fillId="2" borderId="7" xfId="1" applyFont="1" applyFill="1" applyBorder="1" applyAlignment="1">
      <alignment horizontal="center"/>
    </xf>
    <xf numFmtId="0" fontId="6" fillId="0" borderId="7" xfId="1" applyFont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21" xfId="0" applyBorder="1"/>
    <xf numFmtId="3" fontId="7" fillId="0" borderId="7" xfId="1" applyNumberFormat="1" applyFont="1" applyBorder="1" applyAlignment="1">
      <alignment horizontal="center"/>
    </xf>
    <xf numFmtId="0" fontId="7" fillId="3" borderId="25" xfId="1" applyFont="1" applyFill="1" applyBorder="1" applyAlignment="1">
      <alignment horizontal="left"/>
    </xf>
    <xf numFmtId="0" fontId="0" fillId="0" borderId="4" xfId="0" applyBorder="1"/>
    <xf numFmtId="0" fontId="7" fillId="0" borderId="22" xfId="1" applyFont="1" applyBorder="1" applyAlignment="1">
      <alignment horizontal="center"/>
    </xf>
    <xf numFmtId="0" fontId="10" fillId="0" borderId="7" xfId="1" applyFont="1" applyBorder="1" applyAlignment="1">
      <alignment horizontal="center"/>
    </xf>
    <xf numFmtId="0" fontId="10" fillId="0" borderId="7" xfId="1" applyFont="1" applyBorder="1" applyAlignment="1">
      <alignment horizontal="left"/>
    </xf>
    <xf numFmtId="0" fontId="7" fillId="0" borderId="7" xfId="1" applyFont="1" applyBorder="1" applyAlignment="1">
      <alignment horizontal="center"/>
    </xf>
    <xf numFmtId="0" fontId="12" fillId="0" borderId="0" xfId="0" applyFont="1"/>
    <xf numFmtId="0" fontId="3" fillId="0" borderId="0" xfId="1" applyFont="1"/>
    <xf numFmtId="0" fontId="7" fillId="4" borderId="7" xfId="1" applyFont="1" applyFill="1" applyBorder="1" applyAlignment="1">
      <alignment horizontal="center" vertical="center"/>
    </xf>
    <xf numFmtId="0" fontId="7" fillId="3" borderId="7" xfId="1" applyFont="1" applyFill="1" applyBorder="1" applyAlignment="1">
      <alignment horizontal="left"/>
    </xf>
    <xf numFmtId="0" fontId="2" fillId="3" borderId="7" xfId="1" applyFont="1" applyFill="1" applyBorder="1" applyAlignment="1">
      <alignment horizontal="left" vertical="center" wrapText="1"/>
    </xf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lanning%20Files/PlanningCPP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ynamics Enum Cache"/>
      <sheetName val="Dispatch"/>
      <sheetName val="AL.CSS2"/>
      <sheetName val="L.CSS2"/>
      <sheetName val="Finished Goods"/>
      <sheetName val="Balance Sheet"/>
      <sheetName val="Configurations"/>
      <sheetName val="P.CSS2"/>
      <sheetName val="Controls"/>
      <sheetName val="FG &amp; ALL STOCKS"/>
      <sheetName val="Sheet1"/>
      <sheetName val="AR, MS-MT, PS, BS &amp; FG PIVOT "/>
      <sheetName val="Summary Formul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 t="str">
            <v>Film Codes</v>
          </cell>
          <cell r="B1" t="str">
            <v>Thickness</v>
          </cell>
          <cell r="C1" t="str">
            <v>Density</v>
          </cell>
          <cell r="D1" t="str">
            <v>Sealability</v>
          </cell>
          <cell r="E1" t="str">
            <v>Treatment</v>
          </cell>
          <cell r="F1" t="str">
            <v>Rejected Material</v>
          </cell>
        </row>
        <row r="2">
          <cell r="A2" t="str">
            <v>CMB21S-18</v>
          </cell>
          <cell r="B2">
            <v>15</v>
          </cell>
          <cell r="C2">
            <v>0.91</v>
          </cell>
          <cell r="D2" t="str">
            <v>BSS</v>
          </cell>
          <cell r="E2" t="str">
            <v>OS</v>
          </cell>
          <cell r="F2" t="str">
            <v>R-CTHoM18</v>
          </cell>
        </row>
        <row r="3">
          <cell r="A3" t="str">
            <v>CMB21S-20</v>
          </cell>
          <cell r="B3">
            <v>20</v>
          </cell>
          <cell r="C3">
            <v>0.91</v>
          </cell>
          <cell r="D3" t="str">
            <v>BSS</v>
          </cell>
          <cell r="E3" t="str">
            <v>OS</v>
          </cell>
          <cell r="F3" t="str">
            <v>R-CTHoM20</v>
          </cell>
        </row>
        <row r="4">
          <cell r="A4" t="str">
            <v>CMB21S-22</v>
          </cell>
          <cell r="B4">
            <v>22</v>
          </cell>
          <cell r="C4">
            <v>0.91</v>
          </cell>
          <cell r="D4" t="str">
            <v>BSS</v>
          </cell>
          <cell r="E4" t="str">
            <v>OS</v>
          </cell>
          <cell r="F4" t="str">
            <v>R-CTHoM22</v>
          </cell>
        </row>
        <row r="5">
          <cell r="A5" t="str">
            <v>CMB21S-25</v>
          </cell>
          <cell r="B5">
            <v>25</v>
          </cell>
          <cell r="C5">
            <v>0.91</v>
          </cell>
          <cell r="D5" t="str">
            <v>BSS</v>
          </cell>
          <cell r="E5" t="str">
            <v>OS</v>
          </cell>
          <cell r="F5" t="str">
            <v>R-CTHoM25</v>
          </cell>
        </row>
        <row r="6">
          <cell r="A6" t="str">
            <v>CMB21S-30</v>
          </cell>
          <cell r="B6">
            <v>30</v>
          </cell>
          <cell r="C6">
            <v>0.91</v>
          </cell>
          <cell r="D6" t="str">
            <v>BSS</v>
          </cell>
          <cell r="E6" t="str">
            <v>OS</v>
          </cell>
          <cell r="F6" t="str">
            <v>R-CTHoM30</v>
          </cell>
        </row>
        <row r="7">
          <cell r="A7" t="str">
            <v>CMB21S-40</v>
          </cell>
          <cell r="B7">
            <v>40</v>
          </cell>
          <cell r="C7">
            <v>0.91</v>
          </cell>
          <cell r="D7" t="str">
            <v>BSS</v>
          </cell>
          <cell r="E7" t="str">
            <v>OS</v>
          </cell>
          <cell r="F7" t="str">
            <v>R-CTHoM40</v>
          </cell>
        </row>
        <row r="8">
          <cell r="A8" t="str">
            <v>CMB21S-50</v>
          </cell>
          <cell r="B8">
            <v>50</v>
          </cell>
          <cell r="C8">
            <v>0.91</v>
          </cell>
          <cell r="D8" t="str">
            <v>BSS</v>
          </cell>
          <cell r="E8" t="str">
            <v>OS</v>
          </cell>
          <cell r="F8" t="str">
            <v>R-CTHoM50</v>
          </cell>
        </row>
        <row r="9">
          <cell r="A9" t="str">
            <v>CMB21R-20</v>
          </cell>
          <cell r="B9">
            <v>20</v>
          </cell>
          <cell r="C9">
            <v>0.91</v>
          </cell>
          <cell r="D9" t="str">
            <v>BSS</v>
          </cell>
          <cell r="E9" t="str">
            <v>OS</v>
          </cell>
          <cell r="F9" t="str">
            <v>R-CTHOM(HB)20</v>
          </cell>
        </row>
        <row r="10">
          <cell r="A10" t="str">
            <v>CMB21R-25</v>
          </cell>
          <cell r="B10">
            <v>25</v>
          </cell>
          <cell r="C10">
            <v>0.91</v>
          </cell>
          <cell r="D10" t="str">
            <v>BSS</v>
          </cell>
          <cell r="E10" t="str">
            <v>OS</v>
          </cell>
          <cell r="F10" t="str">
            <v>R-CTHOM(HB)25</v>
          </cell>
        </row>
        <row r="11">
          <cell r="A11" t="str">
            <v>CMB21R-30</v>
          </cell>
          <cell r="B11">
            <v>30</v>
          </cell>
          <cell r="C11">
            <v>0.91</v>
          </cell>
          <cell r="D11" t="str">
            <v>BSS</v>
          </cell>
          <cell r="E11" t="str">
            <v>OS</v>
          </cell>
          <cell r="F11" t="str">
            <v>R-CTHOM(HB)30</v>
          </cell>
        </row>
        <row r="12">
          <cell r="A12" t="str">
            <v>CMBW21-40</v>
          </cell>
          <cell r="B12">
            <v>40</v>
          </cell>
          <cell r="C12">
            <v>0.95</v>
          </cell>
          <cell r="D12" t="str">
            <v>BSS</v>
          </cell>
          <cell r="E12" t="str">
            <v>OS</v>
          </cell>
          <cell r="F12" t="str">
            <v>R-CTHoMWS40</v>
          </cell>
        </row>
        <row r="13">
          <cell r="A13" t="str">
            <v>CMZ10S-18</v>
          </cell>
          <cell r="B13">
            <v>18</v>
          </cell>
          <cell r="C13">
            <v>0.91</v>
          </cell>
          <cell r="D13" t="str">
            <v>BSS</v>
          </cell>
          <cell r="E13" t="str">
            <v>OS</v>
          </cell>
          <cell r="F13" t="str">
            <v>R-CMZ18</v>
          </cell>
        </row>
        <row r="14">
          <cell r="A14" t="str">
            <v>CMZ10S-20</v>
          </cell>
          <cell r="B14">
            <v>20</v>
          </cell>
          <cell r="C14">
            <v>0.91</v>
          </cell>
          <cell r="D14" t="str">
            <v>BSS</v>
          </cell>
          <cell r="E14" t="str">
            <v>OS</v>
          </cell>
          <cell r="F14" t="str">
            <v>R-CMZ20</v>
          </cell>
        </row>
        <row r="15">
          <cell r="A15" t="str">
            <v>CMZ10S-22</v>
          </cell>
          <cell r="B15">
            <v>22</v>
          </cell>
          <cell r="C15">
            <v>0.91</v>
          </cell>
          <cell r="D15" t="str">
            <v>BSS</v>
          </cell>
          <cell r="E15" t="str">
            <v>OS</v>
          </cell>
          <cell r="F15" t="str">
            <v>R-CMZ22</v>
          </cell>
        </row>
        <row r="16">
          <cell r="A16" t="str">
            <v>CMZ10S-25</v>
          </cell>
          <cell r="B16">
            <v>25</v>
          </cell>
          <cell r="C16">
            <v>0.91</v>
          </cell>
          <cell r="D16" t="str">
            <v>BSS</v>
          </cell>
          <cell r="E16" t="str">
            <v>OS</v>
          </cell>
          <cell r="F16" t="str">
            <v>R-CMZ25</v>
          </cell>
        </row>
        <row r="17">
          <cell r="A17" t="str">
            <v>CMZ10S-30</v>
          </cell>
          <cell r="B17">
            <v>30</v>
          </cell>
          <cell r="C17">
            <v>0.91</v>
          </cell>
          <cell r="D17" t="str">
            <v>BSS</v>
          </cell>
          <cell r="E17" t="str">
            <v>OS</v>
          </cell>
          <cell r="F17" t="str">
            <v>R-CMZ30</v>
          </cell>
        </row>
        <row r="18">
          <cell r="A18" t="str">
            <v>CMZ10S-40</v>
          </cell>
          <cell r="B18">
            <v>40</v>
          </cell>
          <cell r="C18">
            <v>0.91</v>
          </cell>
          <cell r="D18" t="str">
            <v>BSS</v>
          </cell>
          <cell r="E18" t="str">
            <v>OS</v>
          </cell>
          <cell r="F18" t="str">
            <v>R-CMZ40</v>
          </cell>
        </row>
        <row r="19">
          <cell r="A19" t="str">
            <v>CMZ10S-50</v>
          </cell>
          <cell r="B19">
            <v>50</v>
          </cell>
          <cell r="C19">
            <v>0.91</v>
          </cell>
          <cell r="D19" t="str">
            <v>BSS</v>
          </cell>
          <cell r="E19" t="str">
            <v>OS</v>
          </cell>
          <cell r="F19" t="str">
            <v>R-CMZ50</v>
          </cell>
        </row>
        <row r="20">
          <cell r="A20" t="str">
            <v>CTH21-20</v>
          </cell>
          <cell r="B20">
            <v>20</v>
          </cell>
          <cell r="C20">
            <v>0.91</v>
          </cell>
          <cell r="D20" t="str">
            <v>BSS</v>
          </cell>
          <cell r="E20" t="str">
            <v>OS</v>
          </cell>
          <cell r="F20" t="str">
            <v>R-CTHo20</v>
          </cell>
        </row>
        <row r="21">
          <cell r="A21" t="str">
            <v>CTH21-25</v>
          </cell>
          <cell r="B21">
            <v>25</v>
          </cell>
          <cell r="C21">
            <v>0.91</v>
          </cell>
          <cell r="D21" t="str">
            <v>BSS</v>
          </cell>
          <cell r="E21" t="str">
            <v>OS</v>
          </cell>
          <cell r="F21" t="str">
            <v>R-CTHO25</v>
          </cell>
        </row>
        <row r="22">
          <cell r="A22" t="str">
            <v>CW21-25</v>
          </cell>
          <cell r="B22">
            <v>25</v>
          </cell>
          <cell r="C22">
            <v>0.95</v>
          </cell>
          <cell r="D22" t="str">
            <v>BSS</v>
          </cell>
          <cell r="E22" t="str">
            <v>OS</v>
          </cell>
          <cell r="F22" t="str">
            <v>R-CWSo25</v>
          </cell>
        </row>
        <row r="23">
          <cell r="A23" t="str">
            <v>CTH21-40</v>
          </cell>
          <cell r="B23">
            <v>40</v>
          </cell>
          <cell r="C23">
            <v>0.91</v>
          </cell>
          <cell r="D23" t="str">
            <v>BSS</v>
          </cell>
          <cell r="E23" t="str">
            <v>OS</v>
          </cell>
          <cell r="F23" t="str">
            <v>R-CTHo40</v>
          </cell>
        </row>
        <row r="24">
          <cell r="A24" t="str">
            <v>CTH21-18</v>
          </cell>
          <cell r="B24">
            <v>18</v>
          </cell>
          <cell r="C24">
            <v>0.91</v>
          </cell>
          <cell r="D24" t="str">
            <v>BSS</v>
          </cell>
          <cell r="E24" t="str">
            <v>OS</v>
          </cell>
          <cell r="F24" t="str">
            <v>R-CTHo18</v>
          </cell>
        </row>
        <row r="25">
          <cell r="A25" t="str">
            <v>CTH21-30</v>
          </cell>
          <cell r="B25">
            <v>30</v>
          </cell>
          <cell r="C25">
            <v>0.91</v>
          </cell>
          <cell r="D25" t="str">
            <v>BSS</v>
          </cell>
          <cell r="E25" t="str">
            <v>OS</v>
          </cell>
          <cell r="F25" t="str">
            <v>R-CTHo30</v>
          </cell>
        </row>
        <row r="26">
          <cell r="A26" t="str">
            <v>CTH21B-30</v>
          </cell>
          <cell r="B26">
            <v>30</v>
          </cell>
          <cell r="C26">
            <v>0.91</v>
          </cell>
          <cell r="D26" t="str">
            <v>BSS</v>
          </cell>
          <cell r="E26" t="str">
            <v>BS</v>
          </cell>
          <cell r="F26" t="str">
            <v>R-CTHo30</v>
          </cell>
        </row>
        <row r="27">
          <cell r="A27" t="str">
            <v>CTH21B-25</v>
          </cell>
          <cell r="B27">
            <v>25</v>
          </cell>
          <cell r="C27">
            <v>0.91</v>
          </cell>
          <cell r="D27" t="str">
            <v>BSS</v>
          </cell>
          <cell r="E27" t="str">
            <v>BS</v>
          </cell>
          <cell r="F27" t="str">
            <v>R-CTHo25</v>
          </cell>
        </row>
        <row r="28">
          <cell r="A28" t="str">
            <v>CTH21B-40</v>
          </cell>
          <cell r="B28">
            <v>40</v>
          </cell>
          <cell r="C28">
            <v>0.91</v>
          </cell>
          <cell r="D28" t="str">
            <v>BSS</v>
          </cell>
          <cell r="E28" t="str">
            <v>BS</v>
          </cell>
          <cell r="F28" t="str">
            <v>R-CTHo30</v>
          </cell>
        </row>
        <row r="29">
          <cell r="A29" t="str">
            <v>CTH21L-25</v>
          </cell>
          <cell r="B29">
            <v>25</v>
          </cell>
          <cell r="C29">
            <v>0.91</v>
          </cell>
          <cell r="D29" t="str">
            <v>BSS</v>
          </cell>
          <cell r="E29" t="str">
            <v>BS</v>
          </cell>
          <cell r="F29" t="str">
            <v>R-CTHo25</v>
          </cell>
        </row>
        <row r="30">
          <cell r="A30" t="str">
            <v>CTH21L-40</v>
          </cell>
          <cell r="B30">
            <v>40</v>
          </cell>
          <cell r="C30">
            <v>0.91</v>
          </cell>
          <cell r="D30" t="str">
            <v>BSS</v>
          </cell>
          <cell r="E30" t="str">
            <v>BS</v>
          </cell>
          <cell r="F30" t="str">
            <v>R-CTHo40</v>
          </cell>
        </row>
        <row r="31">
          <cell r="A31" t="str">
            <v>CTH21L-30</v>
          </cell>
          <cell r="B31">
            <v>30</v>
          </cell>
          <cell r="C31">
            <v>0.91</v>
          </cell>
          <cell r="D31" t="str">
            <v>BSS</v>
          </cell>
          <cell r="E31" t="str">
            <v>BS</v>
          </cell>
          <cell r="F31" t="str">
            <v>R-CTHo30</v>
          </cell>
        </row>
        <row r="32">
          <cell r="A32" t="str">
            <v>CTH21L-32</v>
          </cell>
          <cell r="B32">
            <v>32</v>
          </cell>
          <cell r="C32">
            <v>0.91</v>
          </cell>
          <cell r="D32" t="str">
            <v>BSS</v>
          </cell>
          <cell r="E32" t="str">
            <v>BS</v>
          </cell>
          <cell r="F32" t="str">
            <v>R-CTHo32</v>
          </cell>
        </row>
        <row r="33">
          <cell r="A33" t="str">
            <v>CMZW10-30</v>
          </cell>
          <cell r="B33">
            <v>30</v>
          </cell>
          <cell r="C33">
            <v>0.95</v>
          </cell>
          <cell r="D33" t="str">
            <v>BSS</v>
          </cell>
          <cell r="E33" t="str">
            <v>OS</v>
          </cell>
          <cell r="F33" t="str">
            <v>R-CMZWS30</v>
          </cell>
        </row>
        <row r="34">
          <cell r="A34" t="str">
            <v>CMZW10-40</v>
          </cell>
          <cell r="B34">
            <v>40</v>
          </cell>
          <cell r="C34">
            <v>0.95</v>
          </cell>
          <cell r="D34" t="str">
            <v>BSS</v>
          </cell>
          <cell r="E34" t="str">
            <v>OS</v>
          </cell>
          <cell r="F34" t="str">
            <v>R-CMZWS40</v>
          </cell>
        </row>
        <row r="35">
          <cell r="A35" t="str">
            <v>CMZ10R-25</v>
          </cell>
          <cell r="B35">
            <v>25</v>
          </cell>
          <cell r="C35">
            <v>0.91</v>
          </cell>
          <cell r="D35" t="str">
            <v>BSS</v>
          </cell>
          <cell r="E35" t="str">
            <v>OS</v>
          </cell>
          <cell r="F35" t="str">
            <v>R-CMZ(HB)25</v>
          </cell>
        </row>
        <row r="36">
          <cell r="A36" t="str">
            <v>CMZ10R-20</v>
          </cell>
          <cell r="B36">
            <v>20</v>
          </cell>
          <cell r="C36">
            <v>0.91</v>
          </cell>
          <cell r="D36" t="str">
            <v>BSS</v>
          </cell>
          <cell r="E36" t="str">
            <v>OS</v>
          </cell>
          <cell r="F36" t="str">
            <v>R-CMZ(HB)20</v>
          </cell>
        </row>
        <row r="37">
          <cell r="A37" t="str">
            <v>CMZ10R-30</v>
          </cell>
          <cell r="B37">
            <v>30</v>
          </cell>
          <cell r="C37">
            <v>0.91</v>
          </cell>
          <cell r="D37" t="str">
            <v>BSS</v>
          </cell>
          <cell r="E37" t="str">
            <v>OS</v>
          </cell>
          <cell r="F37" t="str">
            <v>R-CMZ(HB)30</v>
          </cell>
        </row>
        <row r="38">
          <cell r="A38" t="str">
            <v>CTN01-15</v>
          </cell>
          <cell r="B38">
            <v>15</v>
          </cell>
          <cell r="C38">
            <v>0.91</v>
          </cell>
          <cell r="D38" t="str">
            <v>NS</v>
          </cell>
          <cell r="E38" t="str">
            <v>OS</v>
          </cell>
          <cell r="F38" t="str">
            <v>R-CTN01-15</v>
          </cell>
        </row>
        <row r="39">
          <cell r="A39" t="str">
            <v>CMZ111-20</v>
          </cell>
          <cell r="B39">
            <v>20</v>
          </cell>
          <cell r="C39">
            <v>0.91</v>
          </cell>
          <cell r="D39" t="str">
            <v>BSS</v>
          </cell>
          <cell r="E39" t="str">
            <v>OS</v>
          </cell>
          <cell r="F39" t="str">
            <v>R-CMZ20</v>
          </cell>
        </row>
        <row r="40">
          <cell r="A40" t="str">
            <v>CMB111-20</v>
          </cell>
          <cell r="B40">
            <v>20</v>
          </cell>
          <cell r="C40">
            <v>0.91</v>
          </cell>
          <cell r="D40" t="str">
            <v>BSS</v>
          </cell>
          <cell r="E40" t="str">
            <v>OS</v>
          </cell>
          <cell r="F40" t="str">
            <v>R-CMZ20</v>
          </cell>
        </row>
        <row r="41">
          <cell r="A41" t="str">
            <v>CMZ111-25</v>
          </cell>
          <cell r="B41">
            <v>25</v>
          </cell>
          <cell r="C41">
            <v>0.91</v>
          </cell>
          <cell r="D41" t="str">
            <v>BSS</v>
          </cell>
          <cell r="E41" t="str">
            <v>OS</v>
          </cell>
          <cell r="F41" t="str">
            <v>R-CMZ25</v>
          </cell>
        </row>
        <row r="42">
          <cell r="A42" t="str">
            <v>CMB111-25</v>
          </cell>
          <cell r="B42">
            <v>25</v>
          </cell>
          <cell r="C42">
            <v>0.91</v>
          </cell>
          <cell r="D42" t="str">
            <v>BSS</v>
          </cell>
          <cell r="E42" t="str">
            <v>OS</v>
          </cell>
          <cell r="F42" t="str">
            <v>R-CMZ2</v>
          </cell>
        </row>
        <row r="43">
          <cell r="A43" t="str">
            <v>CMZ10SX-25</v>
          </cell>
          <cell r="B43">
            <v>25</v>
          </cell>
          <cell r="C43">
            <v>0.91</v>
          </cell>
          <cell r="D43" t="str">
            <v>BSS</v>
          </cell>
          <cell r="E43" t="str">
            <v>OS</v>
          </cell>
          <cell r="F43" t="str">
            <v>R-CMZ2</v>
          </cell>
        </row>
        <row r="44">
          <cell r="A44" t="str">
            <v>CMB21SX-25</v>
          </cell>
          <cell r="B44">
            <v>25</v>
          </cell>
          <cell r="C44">
            <v>0.91</v>
          </cell>
          <cell r="D44" t="str">
            <v>BSS</v>
          </cell>
          <cell r="E44" t="str">
            <v>OS</v>
          </cell>
          <cell r="F44" t="str">
            <v>R-CMZ2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2">
    <pageSetUpPr fitToPage="1"/>
  </sheetPr>
  <dimension ref="A1:R34"/>
  <sheetViews>
    <sheetView tabSelected="1" zoomScale="32" workbookViewId="0">
      <selection activeCell="A34" sqref="A34:K34"/>
    </sheetView>
  </sheetViews>
  <sheetFormatPr defaultColWidth="7.90625" defaultRowHeight="13" x14ac:dyDescent="0.3"/>
  <cols>
    <col min="1" max="1" width="19.6328125" style="1" customWidth="1"/>
    <col min="2" max="2" width="15" style="1" customWidth="1"/>
    <col min="3" max="3" width="90.6328125" style="1" customWidth="1"/>
    <col min="4" max="8" width="14.6328125" style="1" customWidth="1"/>
    <col min="9" max="9" width="17.54296875" style="1" customWidth="1"/>
    <col min="10" max="10" width="14.6328125" style="1" customWidth="1"/>
    <col min="11" max="11" width="8.36328125" style="1" customWidth="1"/>
    <col min="12" max="13" width="12.08984375" style="1" customWidth="1"/>
    <col min="14" max="14" width="14.6328125" style="1" customWidth="1"/>
    <col min="15" max="15" width="18" style="1" customWidth="1"/>
    <col min="16" max="16" width="13.6328125" style="1" customWidth="1"/>
    <col min="17" max="17" width="14.90625" style="1" customWidth="1"/>
    <col min="18" max="18" width="17.6328125" style="1" customWidth="1"/>
    <col min="19" max="19" width="7.90625" style="1" customWidth="1"/>
    <col min="20" max="16384" width="7.90625" style="1"/>
  </cols>
  <sheetData>
    <row r="1" spans="1:18" ht="42" customHeight="1" thickBot="1" x14ac:dyDescent="0.5">
      <c r="A1" s="35" t="s">
        <v>57</v>
      </c>
      <c r="B1" s="36"/>
      <c r="C1" s="36"/>
      <c r="D1" s="36"/>
      <c r="E1" s="36"/>
      <c r="F1" s="36"/>
      <c r="G1" s="37"/>
      <c r="H1" s="32" t="s">
        <v>11</v>
      </c>
      <c r="I1" s="35" t="s">
        <v>12</v>
      </c>
      <c r="J1" s="36"/>
      <c r="K1" s="36"/>
      <c r="L1" s="37"/>
      <c r="M1" s="58" t="s">
        <v>13</v>
      </c>
      <c r="N1" s="59"/>
      <c r="O1" s="4">
        <f>C6-L31</f>
        <v>17</v>
      </c>
      <c r="P1" s="58" t="s">
        <v>14</v>
      </c>
      <c r="Q1" s="59"/>
      <c r="R1" s="5">
        <v>10</v>
      </c>
    </row>
    <row r="2" spans="1:18" ht="42" customHeight="1" thickBot="1" x14ac:dyDescent="0.5">
      <c r="A2" s="6"/>
      <c r="B2" s="52" t="s">
        <v>15</v>
      </c>
      <c r="C2" s="36"/>
      <c r="D2" s="36"/>
      <c r="E2" s="36"/>
      <c r="F2" s="36"/>
      <c r="G2" s="37"/>
      <c r="H2" s="48" t="s">
        <v>16</v>
      </c>
      <c r="I2" s="36"/>
      <c r="J2" s="37"/>
      <c r="K2" s="47">
        <f>C6*R1*R2*B3*B5/1000000</f>
        <v>55.692</v>
      </c>
      <c r="L2" s="37"/>
      <c r="M2" s="50" t="s">
        <v>17</v>
      </c>
      <c r="N2" s="51"/>
      <c r="O2" s="20">
        <f>K2-I31</f>
        <v>0.55700000000000216</v>
      </c>
      <c r="P2" s="50" t="s">
        <v>18</v>
      </c>
      <c r="Q2" s="51"/>
      <c r="R2" s="8">
        <v>0.91</v>
      </c>
    </row>
    <row r="3" spans="1:18" ht="42" customHeight="1" thickBot="1" x14ac:dyDescent="0.5">
      <c r="A3" s="6" t="s">
        <v>19</v>
      </c>
      <c r="B3" s="52">
        <v>3600</v>
      </c>
      <c r="C3" s="36"/>
      <c r="D3" s="36"/>
      <c r="E3" s="36"/>
      <c r="F3" s="36"/>
      <c r="G3" s="37"/>
      <c r="H3" s="48" t="s">
        <v>20</v>
      </c>
      <c r="I3" s="36"/>
      <c r="J3" s="37"/>
      <c r="K3" s="47">
        <f>1.174*(R1*B3)^0.5</f>
        <v>222.75083838226061</v>
      </c>
      <c r="L3" s="37"/>
      <c r="M3" s="50" t="s">
        <v>21</v>
      </c>
      <c r="N3" s="51"/>
      <c r="O3" s="9">
        <f>O2/K2</f>
        <v>1.0001436472024746E-2</v>
      </c>
      <c r="P3" s="50" t="s">
        <v>22</v>
      </c>
      <c r="Q3" s="51"/>
      <c r="R3" s="8">
        <v>25</v>
      </c>
    </row>
    <row r="4" spans="1:18" ht="42" customHeight="1" thickBot="1" x14ac:dyDescent="0.5">
      <c r="A4" s="6" t="s">
        <v>23</v>
      </c>
      <c r="B4" s="47"/>
      <c r="C4" s="36"/>
      <c r="D4" s="36"/>
      <c r="E4" s="36"/>
      <c r="F4" s="36"/>
      <c r="G4" s="37"/>
      <c r="H4" s="48" t="s">
        <v>24</v>
      </c>
      <c r="I4" s="36"/>
      <c r="J4" s="37"/>
      <c r="K4" s="47">
        <v>22.2</v>
      </c>
      <c r="L4" s="37"/>
      <c r="M4" s="50" t="s">
        <v>25</v>
      </c>
      <c r="N4" s="51"/>
      <c r="O4" s="7">
        <f>L31</f>
        <v>1683</v>
      </c>
      <c r="P4" s="50" t="s">
        <v>26</v>
      </c>
      <c r="Q4" s="51"/>
      <c r="R4" s="8">
        <v>3</v>
      </c>
    </row>
    <row r="5" spans="1:18" ht="42" customHeight="1" thickBot="1" x14ac:dyDescent="0.5">
      <c r="A5" s="10" t="s">
        <v>27</v>
      </c>
      <c r="B5" s="46">
        <v>1</v>
      </c>
      <c r="C5" s="36"/>
      <c r="D5" s="36"/>
      <c r="E5" s="36"/>
      <c r="F5" s="36"/>
      <c r="G5" s="37"/>
      <c r="H5" s="48" t="s">
        <v>28</v>
      </c>
      <c r="I5" s="36"/>
      <c r="J5" s="37"/>
      <c r="K5" s="57">
        <f>B5*B3</f>
        <v>3600</v>
      </c>
      <c r="L5" s="37"/>
      <c r="M5" s="50" t="s">
        <v>29</v>
      </c>
      <c r="N5" s="51"/>
      <c r="O5" s="33">
        <f>C6-R3-L31</f>
        <v>-8</v>
      </c>
      <c r="P5" s="38" t="s">
        <v>30</v>
      </c>
      <c r="Q5" s="39"/>
      <c r="R5" s="8" t="e">
        <f>VLOOKUP(B2,[1]Configurations!A:F,6,FALSE)</f>
        <v>#N/A</v>
      </c>
    </row>
    <row r="6" spans="1:18" ht="42" customHeight="1" thickBot="1" x14ac:dyDescent="0.55000000000000004">
      <c r="A6" s="67">
        <v>1683</v>
      </c>
      <c r="B6" s="37"/>
      <c r="C6" s="63">
        <v>1700</v>
      </c>
      <c r="D6" s="36"/>
      <c r="E6" s="36"/>
      <c r="F6" s="36"/>
      <c r="G6" s="37"/>
      <c r="H6" s="48" t="s">
        <v>31</v>
      </c>
      <c r="I6" s="36"/>
      <c r="J6" s="37"/>
      <c r="K6" s="49"/>
      <c r="L6" s="37"/>
      <c r="M6" s="38" t="s">
        <v>32</v>
      </c>
      <c r="N6" s="39"/>
      <c r="O6" s="34"/>
      <c r="P6" s="68" t="s">
        <v>33</v>
      </c>
      <c r="Q6" s="41"/>
      <c r="R6" s="42"/>
    </row>
    <row r="7" spans="1:18" s="2" customFormat="1" ht="39.9" customHeight="1" thickBot="1" x14ac:dyDescent="0.35">
      <c r="A7" s="31" t="s">
        <v>34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 t="s">
        <v>35</v>
      </c>
      <c r="M7" s="21" t="s">
        <v>35</v>
      </c>
      <c r="N7" s="21" t="s">
        <v>36</v>
      </c>
      <c r="O7" s="21" t="s">
        <v>37</v>
      </c>
      <c r="P7" s="54"/>
      <c r="Q7" s="55"/>
      <c r="R7" s="56"/>
    </row>
    <row r="8" spans="1:18" s="2" customFormat="1" ht="39.9" customHeight="1" thickBot="1" x14ac:dyDescent="0.5">
      <c r="A8" s="29" t="s">
        <v>38</v>
      </c>
      <c r="B8" s="30" t="s">
        <v>39</v>
      </c>
      <c r="C8" s="30" t="s">
        <v>10</v>
      </c>
      <c r="D8" s="30" t="s">
        <v>40</v>
      </c>
      <c r="E8" s="30" t="s">
        <v>41</v>
      </c>
      <c r="F8" s="30" t="s">
        <v>42</v>
      </c>
      <c r="G8" s="30" t="s">
        <v>43</v>
      </c>
      <c r="H8" s="30" t="s">
        <v>44</v>
      </c>
      <c r="I8" s="30" t="s">
        <v>45</v>
      </c>
      <c r="J8" s="30" t="s">
        <v>46</v>
      </c>
      <c r="K8" s="30" t="s">
        <v>0</v>
      </c>
      <c r="L8" s="30" t="s">
        <v>47</v>
      </c>
      <c r="M8" s="30" t="s">
        <v>44</v>
      </c>
      <c r="N8" s="30" t="s">
        <v>48</v>
      </c>
      <c r="O8" s="30" t="s">
        <v>48</v>
      </c>
      <c r="P8" s="66" t="s">
        <v>49</v>
      </c>
      <c r="Q8" s="36"/>
      <c r="R8" s="37"/>
    </row>
    <row r="9" spans="1:18" s="3" customFormat="1" ht="39.9" customHeight="1" x14ac:dyDescent="0.5">
      <c r="A9" s="11" t="s">
        <v>3</v>
      </c>
      <c r="B9" s="17" t="s">
        <v>8</v>
      </c>
      <c r="C9" s="16" t="s">
        <v>4</v>
      </c>
      <c r="D9" s="19">
        <v>3600</v>
      </c>
      <c r="E9" s="17">
        <v>3</v>
      </c>
      <c r="F9" s="19" t="s">
        <v>50</v>
      </c>
      <c r="G9" s="19">
        <v>445</v>
      </c>
      <c r="H9" s="17">
        <v>1</v>
      </c>
      <c r="I9" s="18">
        <v>14.577999999999999</v>
      </c>
      <c r="J9" s="17">
        <v>445</v>
      </c>
      <c r="K9" s="17">
        <v>1</v>
      </c>
      <c r="L9" s="17">
        <v>445</v>
      </c>
      <c r="M9" s="12">
        <v>1</v>
      </c>
      <c r="N9" s="13">
        <v>14.577999999999999</v>
      </c>
      <c r="O9" s="14">
        <v>14.577999999999999</v>
      </c>
      <c r="P9" s="63"/>
      <c r="Q9" s="41"/>
      <c r="R9" s="42"/>
    </row>
    <row r="10" spans="1:18" s="3" customFormat="1" ht="39.9" customHeight="1" thickBot="1" x14ac:dyDescent="0.55000000000000004">
      <c r="A10" s="11" t="s">
        <v>1</v>
      </c>
      <c r="B10" s="17" t="s">
        <v>9</v>
      </c>
      <c r="C10" s="16" t="s">
        <v>2</v>
      </c>
      <c r="D10" s="19">
        <v>3600</v>
      </c>
      <c r="E10" s="17">
        <v>3</v>
      </c>
      <c r="F10" s="19" t="s">
        <v>50</v>
      </c>
      <c r="G10" s="19">
        <v>578</v>
      </c>
      <c r="H10" s="17">
        <v>1</v>
      </c>
      <c r="I10" s="18">
        <v>18.934999999999999</v>
      </c>
      <c r="J10" s="17">
        <v>578</v>
      </c>
      <c r="K10" s="17">
        <v>1</v>
      </c>
      <c r="L10" s="17">
        <v>578</v>
      </c>
      <c r="M10" s="17">
        <v>1</v>
      </c>
      <c r="N10" s="13">
        <v>18.934999999999999</v>
      </c>
      <c r="O10" s="15">
        <v>18.934999999999999</v>
      </c>
      <c r="P10" s="54"/>
      <c r="Q10" s="55"/>
      <c r="R10" s="56"/>
    </row>
    <row r="11" spans="1:18" s="3" customFormat="1" ht="39.9" customHeight="1" x14ac:dyDescent="0.5">
      <c r="A11" s="11" t="s">
        <v>5</v>
      </c>
      <c r="B11" s="17" t="s">
        <v>7</v>
      </c>
      <c r="C11" s="16" t="s">
        <v>6</v>
      </c>
      <c r="D11" s="19">
        <v>3600</v>
      </c>
      <c r="E11" s="17">
        <v>3</v>
      </c>
      <c r="F11" s="19" t="s">
        <v>50</v>
      </c>
      <c r="G11" s="19">
        <v>660</v>
      </c>
      <c r="H11" s="17">
        <v>1</v>
      </c>
      <c r="I11" s="18">
        <v>21.622</v>
      </c>
      <c r="J11" s="17">
        <v>660</v>
      </c>
      <c r="K11" s="17">
        <v>1</v>
      </c>
      <c r="L11" s="17">
        <v>660</v>
      </c>
      <c r="M11" s="17">
        <v>1</v>
      </c>
      <c r="N11" s="13">
        <v>21.622</v>
      </c>
      <c r="O11" s="15">
        <v>21.622</v>
      </c>
      <c r="P11" s="40" t="s">
        <v>51</v>
      </c>
      <c r="Q11" s="41"/>
      <c r="R11" s="42"/>
    </row>
    <row r="12" spans="1:18" s="3" customFormat="1" ht="39.9" customHeight="1" x14ac:dyDescent="0.5">
      <c r="A12" s="11"/>
      <c r="B12" s="17"/>
      <c r="C12" s="16"/>
      <c r="D12" s="19"/>
      <c r="E12" s="17"/>
      <c r="F12" s="19"/>
      <c r="G12" s="19"/>
      <c r="H12" s="17"/>
      <c r="I12" s="18"/>
      <c r="J12" s="17"/>
      <c r="K12" s="17"/>
      <c r="L12" s="17"/>
      <c r="M12" s="17"/>
      <c r="N12" s="13"/>
      <c r="O12" s="15"/>
      <c r="P12" s="43"/>
      <c r="Q12" s="44"/>
      <c r="R12" s="45"/>
    </row>
    <row r="13" spans="1:18" s="3" customFormat="1" ht="39.9" customHeight="1" x14ac:dyDescent="0.5">
      <c r="A13" s="11"/>
      <c r="B13" s="17"/>
      <c r="C13" s="16"/>
      <c r="D13" s="19"/>
      <c r="E13" s="17"/>
      <c r="F13" s="19"/>
      <c r="G13" s="19"/>
      <c r="H13" s="17"/>
      <c r="I13" s="18"/>
      <c r="J13" s="17"/>
      <c r="K13" s="17"/>
      <c r="L13" s="17"/>
      <c r="M13" s="17"/>
      <c r="N13" s="13"/>
      <c r="O13" s="15"/>
      <c r="P13" s="60"/>
      <c r="Q13" s="44"/>
      <c r="R13" s="45"/>
    </row>
    <row r="14" spans="1:18" s="3" customFormat="1" ht="39.9" customHeight="1" thickBot="1" x14ac:dyDescent="0.55000000000000004">
      <c r="A14" s="11"/>
      <c r="B14" s="17"/>
      <c r="C14" s="16"/>
      <c r="D14" s="19"/>
      <c r="E14" s="17"/>
      <c r="F14" s="19"/>
      <c r="G14" s="19"/>
      <c r="H14" s="17"/>
      <c r="I14" s="18"/>
      <c r="J14" s="17"/>
      <c r="K14" s="17"/>
      <c r="L14" s="17"/>
      <c r="M14" s="17"/>
      <c r="N14" s="13"/>
      <c r="O14" s="15"/>
      <c r="P14" s="54"/>
      <c r="Q14" s="55"/>
      <c r="R14" s="56"/>
    </row>
    <row r="15" spans="1:18" s="3" customFormat="1" ht="39.9" customHeight="1" x14ac:dyDescent="0.5">
      <c r="A15" s="11"/>
      <c r="B15" s="17"/>
      <c r="C15" s="16"/>
      <c r="D15" s="19"/>
      <c r="E15" s="17"/>
      <c r="F15" s="19"/>
      <c r="G15" s="19"/>
      <c r="H15" s="17"/>
      <c r="I15" s="18"/>
      <c r="J15" s="17"/>
      <c r="K15" s="17"/>
      <c r="L15" s="17"/>
      <c r="M15" s="17"/>
      <c r="N15" s="13"/>
      <c r="O15" s="15"/>
      <c r="P15" s="40" t="s">
        <v>52</v>
      </c>
      <c r="Q15" s="41"/>
      <c r="R15" s="42"/>
    </row>
    <row r="16" spans="1:18" s="3" customFormat="1" ht="39.9" customHeight="1" x14ac:dyDescent="0.5">
      <c r="A16" s="11"/>
      <c r="B16" s="17"/>
      <c r="C16" s="16"/>
      <c r="D16" s="19"/>
      <c r="E16" s="17"/>
      <c r="F16" s="19"/>
      <c r="G16" s="19"/>
      <c r="H16" s="17"/>
      <c r="I16" s="18"/>
      <c r="J16" s="17"/>
      <c r="K16" s="17"/>
      <c r="L16" s="17"/>
      <c r="M16" s="17"/>
      <c r="N16" s="13"/>
      <c r="O16" s="15"/>
      <c r="P16" s="43"/>
      <c r="Q16" s="44"/>
      <c r="R16" s="45"/>
    </row>
    <row r="17" spans="1:18" s="3" customFormat="1" ht="39.9" customHeight="1" x14ac:dyDescent="0.5">
      <c r="A17" s="11"/>
      <c r="B17" s="17"/>
      <c r="C17" s="16"/>
      <c r="D17" s="19"/>
      <c r="E17" s="17"/>
      <c r="F17" s="19"/>
      <c r="G17" s="19"/>
      <c r="H17" s="17"/>
      <c r="I17" s="18"/>
      <c r="J17" s="17"/>
      <c r="K17" s="17"/>
      <c r="L17" s="17"/>
      <c r="M17" s="17"/>
      <c r="N17" s="13"/>
      <c r="O17" s="15"/>
      <c r="P17" s="60"/>
      <c r="Q17" s="44"/>
      <c r="R17" s="45"/>
    </row>
    <row r="18" spans="1:18" s="3" customFormat="1" ht="39.9" customHeight="1" thickBot="1" x14ac:dyDescent="0.55000000000000004">
      <c r="A18" s="11"/>
      <c r="B18" s="17"/>
      <c r="C18" s="16"/>
      <c r="D18" s="19"/>
      <c r="E18" s="17"/>
      <c r="F18" s="19"/>
      <c r="G18" s="19"/>
      <c r="H18" s="17"/>
      <c r="I18" s="18"/>
      <c r="J18" s="17"/>
      <c r="K18" s="17"/>
      <c r="L18" s="17"/>
      <c r="M18" s="17"/>
      <c r="N18" s="13"/>
      <c r="O18" s="15"/>
      <c r="P18" s="54"/>
      <c r="Q18" s="55"/>
      <c r="R18" s="56"/>
    </row>
    <row r="19" spans="1:18" s="3" customFormat="1" ht="39.9" customHeight="1" x14ac:dyDescent="0.5">
      <c r="A19" s="11"/>
      <c r="B19" s="17"/>
      <c r="C19" s="16"/>
      <c r="D19" s="19"/>
      <c r="E19" s="17"/>
      <c r="F19" s="19"/>
      <c r="G19" s="19"/>
      <c r="H19" s="17"/>
      <c r="I19" s="18"/>
      <c r="J19" s="17"/>
      <c r="K19" s="17"/>
      <c r="L19" s="17"/>
      <c r="M19" s="17"/>
      <c r="N19" s="13"/>
      <c r="O19" s="15"/>
      <c r="P19" s="40" t="s">
        <v>53</v>
      </c>
      <c r="Q19" s="41"/>
      <c r="R19" s="42"/>
    </row>
    <row r="20" spans="1:18" s="3" customFormat="1" ht="39.9" customHeight="1" x14ac:dyDescent="0.5">
      <c r="A20" s="11"/>
      <c r="B20" s="17"/>
      <c r="C20" s="16"/>
      <c r="D20" s="19"/>
      <c r="E20" s="17"/>
      <c r="F20" s="19"/>
      <c r="G20" s="19"/>
      <c r="H20" s="17"/>
      <c r="I20" s="18"/>
      <c r="J20" s="17"/>
      <c r="K20" s="17"/>
      <c r="L20" s="17"/>
      <c r="M20" s="17"/>
      <c r="N20" s="13"/>
      <c r="O20" s="15"/>
      <c r="P20" s="43"/>
      <c r="Q20" s="44"/>
      <c r="R20" s="45"/>
    </row>
    <row r="21" spans="1:18" s="3" customFormat="1" ht="39.9" customHeight="1" x14ac:dyDescent="0.5">
      <c r="A21" s="11"/>
      <c r="B21" s="17"/>
      <c r="C21" s="16"/>
      <c r="D21" s="19"/>
      <c r="E21" s="17"/>
      <c r="F21" s="19"/>
      <c r="G21" s="19"/>
      <c r="H21" s="17"/>
      <c r="I21" s="18"/>
      <c r="J21" s="17"/>
      <c r="K21" s="17"/>
      <c r="L21" s="17"/>
      <c r="M21" s="17"/>
      <c r="N21" s="13"/>
      <c r="O21" s="15"/>
      <c r="P21" s="60"/>
      <c r="Q21" s="44"/>
      <c r="R21" s="45"/>
    </row>
    <row r="22" spans="1:18" s="3" customFormat="1" ht="39.9" customHeight="1" thickBot="1" x14ac:dyDescent="0.55000000000000004">
      <c r="A22" s="11"/>
      <c r="B22" s="17"/>
      <c r="C22" s="16"/>
      <c r="D22" s="19"/>
      <c r="E22" s="17"/>
      <c r="F22" s="19"/>
      <c r="G22" s="19"/>
      <c r="H22" s="17"/>
      <c r="I22" s="18"/>
      <c r="J22" s="17"/>
      <c r="K22" s="17"/>
      <c r="L22" s="17"/>
      <c r="M22" s="17"/>
      <c r="N22" s="13"/>
      <c r="O22" s="15"/>
      <c r="P22" s="54"/>
      <c r="Q22" s="55"/>
      <c r="R22" s="56"/>
    </row>
    <row r="23" spans="1:18" s="3" customFormat="1" ht="39.9" customHeight="1" x14ac:dyDescent="0.5">
      <c r="A23" s="11"/>
      <c r="B23" s="17"/>
      <c r="C23" s="16"/>
      <c r="D23" s="19"/>
      <c r="E23" s="17"/>
      <c r="F23" s="19"/>
      <c r="G23" s="19"/>
      <c r="H23" s="17"/>
      <c r="I23" s="18"/>
      <c r="J23" s="17"/>
      <c r="K23" s="17"/>
      <c r="L23" s="17"/>
      <c r="M23" s="17"/>
      <c r="N23" s="13"/>
      <c r="O23" s="15"/>
      <c r="P23" s="40" t="s">
        <v>54</v>
      </c>
      <c r="Q23" s="41"/>
      <c r="R23" s="42"/>
    </row>
    <row r="24" spans="1:18" s="3" customFormat="1" ht="39.9" customHeight="1" x14ac:dyDescent="0.5">
      <c r="A24" s="11"/>
      <c r="B24" s="17"/>
      <c r="C24" s="16"/>
      <c r="D24" s="19"/>
      <c r="E24" s="17"/>
      <c r="F24" s="19"/>
      <c r="G24" s="19"/>
      <c r="H24" s="17"/>
      <c r="I24" s="18"/>
      <c r="J24" s="17"/>
      <c r="K24" s="17"/>
      <c r="L24" s="17"/>
      <c r="M24" s="17"/>
      <c r="N24" s="13"/>
      <c r="O24" s="15"/>
      <c r="P24" s="43"/>
      <c r="Q24" s="44"/>
      <c r="R24" s="45"/>
    </row>
    <row r="25" spans="1:18" s="3" customFormat="1" ht="39.9" customHeight="1" x14ac:dyDescent="0.5">
      <c r="A25" s="11"/>
      <c r="B25" s="17"/>
      <c r="C25" s="16"/>
      <c r="D25" s="19"/>
      <c r="E25" s="17"/>
      <c r="F25" s="19"/>
      <c r="G25" s="19"/>
      <c r="H25" s="17"/>
      <c r="I25" s="18"/>
      <c r="J25" s="17"/>
      <c r="K25" s="17"/>
      <c r="L25" s="17"/>
      <c r="M25" s="17"/>
      <c r="N25" s="13"/>
      <c r="O25" s="15"/>
      <c r="P25" s="60"/>
      <c r="Q25" s="44"/>
      <c r="R25" s="45"/>
    </row>
    <row r="26" spans="1:18" s="3" customFormat="1" ht="39.9" customHeight="1" thickBot="1" x14ac:dyDescent="0.55000000000000004">
      <c r="A26" s="11"/>
      <c r="B26" s="17"/>
      <c r="C26" s="16"/>
      <c r="D26" s="19"/>
      <c r="E26" s="17"/>
      <c r="F26" s="19"/>
      <c r="G26" s="19"/>
      <c r="H26" s="17"/>
      <c r="I26" s="18"/>
      <c r="J26" s="17"/>
      <c r="K26" s="17"/>
      <c r="L26" s="17"/>
      <c r="M26" s="17"/>
      <c r="N26" s="13"/>
      <c r="O26" s="15"/>
      <c r="P26" s="54"/>
      <c r="Q26" s="55"/>
      <c r="R26" s="56"/>
    </row>
    <row r="27" spans="1:18" s="3" customFormat="1" ht="39.9" customHeight="1" x14ac:dyDescent="0.5">
      <c r="A27" s="11"/>
      <c r="B27" s="17"/>
      <c r="C27" s="16"/>
      <c r="D27" s="19"/>
      <c r="E27" s="17"/>
      <c r="F27" s="19"/>
      <c r="G27" s="19"/>
      <c r="H27" s="17"/>
      <c r="I27" s="18"/>
      <c r="J27" s="17"/>
      <c r="K27" s="17"/>
      <c r="L27" s="17"/>
      <c r="M27" s="17"/>
      <c r="N27" s="13"/>
      <c r="O27" s="15"/>
      <c r="P27" s="40" t="s">
        <v>55</v>
      </c>
      <c r="Q27" s="41"/>
      <c r="R27" s="42"/>
    </row>
    <row r="28" spans="1:18" s="3" customFormat="1" ht="39.9" customHeight="1" x14ac:dyDescent="0.5">
      <c r="A28" s="11"/>
      <c r="B28" s="17"/>
      <c r="C28" s="16"/>
      <c r="D28" s="19"/>
      <c r="E28" s="17"/>
      <c r="F28" s="19"/>
      <c r="G28" s="19"/>
      <c r="H28" s="17"/>
      <c r="I28" s="18"/>
      <c r="J28" s="17"/>
      <c r="K28" s="17"/>
      <c r="L28" s="17"/>
      <c r="M28" s="17"/>
      <c r="N28" s="13"/>
      <c r="O28" s="15"/>
      <c r="P28" s="43"/>
      <c r="Q28" s="44"/>
      <c r="R28" s="45"/>
    </row>
    <row r="29" spans="1:18" s="3" customFormat="1" ht="39.9" customHeight="1" x14ac:dyDescent="0.5">
      <c r="A29" s="11"/>
      <c r="B29" s="17"/>
      <c r="C29" s="16"/>
      <c r="D29" s="19"/>
      <c r="E29" s="17"/>
      <c r="F29" s="19"/>
      <c r="G29" s="19"/>
      <c r="H29" s="17"/>
      <c r="I29" s="18"/>
      <c r="J29" s="17"/>
      <c r="K29" s="17"/>
      <c r="L29" s="17"/>
      <c r="M29" s="17"/>
      <c r="N29" s="13"/>
      <c r="O29" s="15"/>
      <c r="P29" s="60"/>
      <c r="Q29" s="44"/>
      <c r="R29" s="45"/>
    </row>
    <row r="30" spans="1:18" s="3" customFormat="1" ht="39.9" customHeight="1" thickBot="1" x14ac:dyDescent="0.55000000000000004">
      <c r="A30" s="11"/>
      <c r="B30" s="17"/>
      <c r="C30" s="16"/>
      <c r="D30" s="19"/>
      <c r="E30" s="17"/>
      <c r="F30" s="19"/>
      <c r="G30" s="19"/>
      <c r="H30" s="17"/>
      <c r="I30" s="18"/>
      <c r="J30" s="17"/>
      <c r="K30" s="17"/>
      <c r="L30" s="17"/>
      <c r="M30" s="17"/>
      <c r="N30" s="13"/>
      <c r="O30" s="15"/>
      <c r="P30" s="54"/>
      <c r="Q30" s="55"/>
      <c r="R30" s="56"/>
    </row>
    <row r="31" spans="1:18" s="3" customFormat="1" ht="44.15" customHeight="1" thickBot="1" x14ac:dyDescent="0.55000000000000004">
      <c r="A31" s="22"/>
      <c r="B31" s="23"/>
      <c r="C31" s="24"/>
      <c r="D31" s="24"/>
      <c r="E31" s="24"/>
      <c r="F31" s="24"/>
      <c r="G31" s="24"/>
      <c r="H31" s="23">
        <f>SUM(H9:H30)</f>
        <v>3</v>
      </c>
      <c r="I31" s="25">
        <f>SUM(I9:I29)</f>
        <v>55.134999999999998</v>
      </c>
      <c r="J31" s="26" t="s">
        <v>56</v>
      </c>
      <c r="K31" s="27">
        <f>SUM(K9:K30)</f>
        <v>3</v>
      </c>
      <c r="L31" s="27">
        <f>SUM(L9:L30)</f>
        <v>1683</v>
      </c>
      <c r="M31" s="27">
        <f>SUM(M9:M30)</f>
        <v>3</v>
      </c>
      <c r="N31" s="25">
        <f>SUM(N9:N29)</f>
        <v>55.134999999999998</v>
      </c>
      <c r="O31" s="28">
        <f>SUM(O9:O29)</f>
        <v>55.134999999999998</v>
      </c>
      <c r="P31" s="53" t="str">
        <f>TRIM(MID(A1,6,100))</f>
        <v>SS01-100626-AB</v>
      </c>
      <c r="Q31" s="41"/>
      <c r="R31" s="42"/>
    </row>
    <row r="32" spans="1:18" s="3" customFormat="1" ht="44.15" customHeight="1" thickBot="1" x14ac:dyDescent="0.45">
      <c r="A32" s="61"/>
      <c r="B32" s="36"/>
      <c r="C32" s="36"/>
      <c r="D32" s="36"/>
      <c r="E32" s="36"/>
      <c r="F32" s="36"/>
      <c r="G32" s="36"/>
      <c r="H32" s="36"/>
      <c r="I32" s="37"/>
      <c r="J32" s="62"/>
      <c r="K32" s="36"/>
      <c r="L32" s="36"/>
      <c r="M32" s="36"/>
      <c r="N32" s="36"/>
      <c r="O32" s="37"/>
      <c r="P32" s="43"/>
      <c r="Q32" s="44"/>
      <c r="R32" s="45"/>
    </row>
    <row r="33" spans="1:18" s="3" customFormat="1" ht="44.15" customHeight="1" thickBot="1" x14ac:dyDescent="0.45">
      <c r="A33" s="61"/>
      <c r="B33" s="36"/>
      <c r="C33" s="36"/>
      <c r="D33" s="36"/>
      <c r="E33" s="36"/>
      <c r="F33" s="36"/>
      <c r="G33" s="36"/>
      <c r="H33" s="36"/>
      <c r="I33" s="37"/>
      <c r="J33" s="62"/>
      <c r="K33" s="36"/>
      <c r="L33" s="36"/>
      <c r="M33" s="36"/>
      <c r="N33" s="36"/>
      <c r="O33" s="37"/>
      <c r="P33" s="54"/>
      <c r="Q33" s="55"/>
      <c r="R33" s="56"/>
    </row>
    <row r="34" spans="1:18" ht="14.5" x14ac:dyDescent="0.3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</row>
  </sheetData>
  <mergeCells count="48">
    <mergeCell ref="P4:Q4"/>
    <mergeCell ref="B2:G2"/>
    <mergeCell ref="A34:K34"/>
    <mergeCell ref="P8:R8"/>
    <mergeCell ref="P15:R16"/>
    <mergeCell ref="C6:G6"/>
    <mergeCell ref="A6:B6"/>
    <mergeCell ref="P6:R7"/>
    <mergeCell ref="P21:R22"/>
    <mergeCell ref="P27:R28"/>
    <mergeCell ref="J33:O33"/>
    <mergeCell ref="P17:R18"/>
    <mergeCell ref="P23:R24"/>
    <mergeCell ref="P19:R20"/>
    <mergeCell ref="P13:R14"/>
    <mergeCell ref="H6:J6"/>
    <mergeCell ref="I1:L1"/>
    <mergeCell ref="P31:R33"/>
    <mergeCell ref="K5:L5"/>
    <mergeCell ref="P1:Q1"/>
    <mergeCell ref="M5:N5"/>
    <mergeCell ref="H2:J2"/>
    <mergeCell ref="M1:N1"/>
    <mergeCell ref="M2:N2"/>
    <mergeCell ref="P29:R30"/>
    <mergeCell ref="A33:I33"/>
    <mergeCell ref="P25:R26"/>
    <mergeCell ref="J32:O32"/>
    <mergeCell ref="A32:I32"/>
    <mergeCell ref="P2:Q2"/>
    <mergeCell ref="P9:R10"/>
    <mergeCell ref="H3:J3"/>
    <mergeCell ref="A1:G1"/>
    <mergeCell ref="M6:N6"/>
    <mergeCell ref="P11:R12"/>
    <mergeCell ref="B5:G5"/>
    <mergeCell ref="K2:L2"/>
    <mergeCell ref="H5:J5"/>
    <mergeCell ref="K6:L6"/>
    <mergeCell ref="B4:G4"/>
    <mergeCell ref="M3:N3"/>
    <mergeCell ref="B3:G3"/>
    <mergeCell ref="P3:Q3"/>
    <mergeCell ref="H4:J4"/>
    <mergeCell ref="P5:Q5"/>
    <mergeCell ref="K4:L4"/>
    <mergeCell ref="M4:N4"/>
    <mergeCell ref="K3:L3"/>
  </mergeCells>
  <printOptions gridLines="1"/>
  <pageMargins left="0" right="0.11811023622047249" top="0.78740157480314965" bottom="0.23622047244094491" header="0.39370078740157483" footer="0"/>
  <pageSetup scale="3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IPAK SS01-AB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Umair Ahmed</cp:lastModifiedBy>
  <cp:lastPrinted>2023-06-07T05:08:25Z</cp:lastPrinted>
  <dcterms:created xsi:type="dcterms:W3CDTF">2017-12-22T07:48:35Z</dcterms:created>
  <dcterms:modified xsi:type="dcterms:W3CDTF">2026-10-18T16:24:11Z</dcterms:modified>
</cp:coreProperties>
</file>